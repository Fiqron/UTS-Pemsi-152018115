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0" documentId="13_ncr:1_{B4A04675-A60D-45A7-A17C-ECE06DC3B6D7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9" i="1" l="1"/>
  <c r="G5" i="1" s="1"/>
  <c r="P29" i="1"/>
  <c r="P30" i="1"/>
  <c r="P31" i="1"/>
  <c r="P32" i="1"/>
  <c r="P33" i="1"/>
  <c r="P34" i="1"/>
  <c r="P35" i="1"/>
  <c r="P36" i="1"/>
  <c r="P37" i="1"/>
  <c r="P38" i="1"/>
  <c r="P39" i="1"/>
  <c r="P40" i="1"/>
  <c r="P25" i="1"/>
  <c r="P26" i="1"/>
  <c r="P27" i="1"/>
  <c r="P28" i="1"/>
  <c r="P22" i="1"/>
  <c r="P23" i="1"/>
  <c r="P24" i="1"/>
  <c r="P19" i="1"/>
  <c r="P20" i="1"/>
  <c r="P21" i="1"/>
  <c r="P13" i="1"/>
  <c r="P14" i="1"/>
  <c r="P15" i="1"/>
  <c r="P16" i="1"/>
  <c r="P17" i="1"/>
  <c r="P18" i="1"/>
  <c r="P12" i="1"/>
  <c r="P8" i="1"/>
  <c r="P7" i="1"/>
  <c r="P5" i="1"/>
  <c r="P6" i="1"/>
  <c r="P9" i="1"/>
  <c r="P10" i="1"/>
  <c r="P11" i="1"/>
  <c r="P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4" i="1"/>
  <c r="G4" i="1" l="1"/>
  <c r="H4" i="1" s="1"/>
  <c r="H5" i="1" s="1"/>
  <c r="G8" i="1"/>
  <c r="G6" i="1"/>
  <c r="G7" i="1"/>
  <c r="J4" i="1" l="1"/>
  <c r="I5" i="1" s="1"/>
  <c r="H10" i="1"/>
  <c r="J5" i="1"/>
  <c r="I6" i="1" s="1"/>
  <c r="H6" i="1"/>
  <c r="H7" i="1" l="1"/>
  <c r="J6" i="1"/>
  <c r="H11" i="1"/>
  <c r="H12" i="1" l="1"/>
  <c r="I7" i="1"/>
  <c r="Q7" i="1" s="1"/>
  <c r="J7" i="1"/>
  <c r="I8" i="1" s="1"/>
  <c r="H8" i="1"/>
  <c r="J8" i="1" s="1"/>
  <c r="Q15" i="1" l="1"/>
  <c r="Q22" i="1"/>
  <c r="Q8" i="1"/>
  <c r="Q17" i="1"/>
  <c r="Q5" i="1"/>
  <c r="Q27" i="1"/>
  <c r="Q29" i="1"/>
  <c r="Q40" i="1"/>
  <c r="Q36" i="1"/>
  <c r="Q38" i="1"/>
  <c r="Q25" i="1"/>
  <c r="Q16" i="1"/>
  <c r="Q19" i="1"/>
  <c r="Q39" i="1"/>
  <c r="Q32" i="1"/>
  <c r="Q26" i="1"/>
  <c r="Q9" i="1"/>
  <c r="Q30" i="1"/>
  <c r="Q18" i="1"/>
  <c r="H14" i="1"/>
  <c r="H13" i="1"/>
  <c r="Q34" i="1"/>
  <c r="Q6" i="1"/>
  <c r="Q28" i="1"/>
  <c r="Q24" i="1"/>
  <c r="Q33" i="1"/>
  <c r="Q14" i="1"/>
  <c r="Q12" i="1"/>
  <c r="Q20" i="1"/>
  <c r="Q21" i="1"/>
  <c r="Q37" i="1"/>
  <c r="Q35" i="1"/>
  <c r="Q4" i="1"/>
  <c r="Q31" i="1"/>
  <c r="Q11" i="1"/>
  <c r="Q13" i="1"/>
  <c r="Q23" i="1"/>
  <c r="Q10" i="1"/>
  <c r="U4" i="1" l="1"/>
  <c r="U5" i="1" s="1"/>
</calcChain>
</file>

<file path=xl/sharedStrings.xml><?xml version="1.0" encoding="utf-8"?>
<sst xmlns="http://schemas.openxmlformats.org/spreadsheetml/2006/main" count="19" uniqueCount="18">
  <si>
    <t>No.</t>
  </si>
  <si>
    <t xml:space="preserve">Frekuensi </t>
  </si>
  <si>
    <t>JUMLAH</t>
  </si>
  <si>
    <t>Probabilitas</t>
  </si>
  <si>
    <t>Probabilitas Kumulatif</t>
  </si>
  <si>
    <t>Generalisasi dan Penaksiran</t>
  </si>
  <si>
    <t>Angka Acak</t>
  </si>
  <si>
    <t>Minggu Ke-</t>
  </si>
  <si>
    <t>Batas Bawah Interval</t>
  </si>
  <si>
    <t>Batas Atas Interval</t>
  </si>
  <si>
    <t>Contoh Input Data</t>
  </si>
  <si>
    <t>Total</t>
  </si>
  <si>
    <t>GACHA KARAKTER BINTANG 5</t>
  </si>
  <si>
    <t>Raihan Pity</t>
  </si>
  <si>
    <t>Pendapatan Pity Perminggu</t>
  </si>
  <si>
    <t>Pity</t>
  </si>
  <si>
    <t>Jumlah Kemungkinan Bintang 5</t>
  </si>
  <si>
    <t>Pendapatan pity minggu ke-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</si>
</sst>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NumberFormat="1" applyBorder="1"/>
    <xf numFmtId="0" fontId="0" fillId="4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abSelected="1" topLeftCell="C1" workbookViewId="0">
      <selection activeCell="Q10" sqref="Q10"/>
    </sheetView>
  </sheetViews>
  <sheetFormatPr defaultRowHeight="15" x14ac:dyDescent="0.25"/>
  <cols>
    <col min="1" max="1" width="9.140625" customWidth="1"/>
    <col min="2" max="2" width="10.85546875" customWidth="1"/>
    <col min="5" max="5" width="19.7109375" customWidth="1"/>
    <col min="6" max="6" width="11" customWidth="1"/>
    <col min="7" max="10" width="12.42578125" customWidth="1"/>
    <col min="11" max="11" width="5.85546875" customWidth="1"/>
    <col min="12" max="12" width="2.28515625" style="4" customWidth="1"/>
    <col min="13" max="13" width="4.5703125" customWidth="1"/>
    <col min="15" max="15" width="19.7109375" customWidth="1"/>
    <col min="16" max="16" width="16.28515625" bestFit="1" customWidth="1"/>
    <col min="17" max="17" width="13.28515625" customWidth="1"/>
    <col min="20" max="20" width="29" bestFit="1" customWidth="1"/>
    <col min="21" max="21" width="15" customWidth="1"/>
  </cols>
  <sheetData>
    <row r="1" spans="1:21" ht="18.75" x14ac:dyDescent="0.3">
      <c r="D1" s="2" t="s">
        <v>12</v>
      </c>
      <c r="N1" s="2" t="s">
        <v>5</v>
      </c>
    </row>
    <row r="2" spans="1:21" x14ac:dyDescent="0.25">
      <c r="A2" t="s">
        <v>10</v>
      </c>
    </row>
    <row r="3" spans="1:21" s="1" customFormat="1" ht="36.75" customHeight="1" x14ac:dyDescent="0.25">
      <c r="A3" s="14" t="s">
        <v>7</v>
      </c>
      <c r="B3" s="14" t="s">
        <v>13</v>
      </c>
      <c r="D3" s="14" t="s">
        <v>0</v>
      </c>
      <c r="E3" s="14" t="s">
        <v>14</v>
      </c>
      <c r="F3" s="14" t="s">
        <v>1</v>
      </c>
      <c r="G3" s="14" t="s">
        <v>3</v>
      </c>
      <c r="H3" s="14" t="s">
        <v>4</v>
      </c>
      <c r="I3" s="15" t="s">
        <v>8</v>
      </c>
      <c r="J3" s="15" t="s">
        <v>9</v>
      </c>
      <c r="L3" s="5"/>
      <c r="N3" s="16" t="s">
        <v>0</v>
      </c>
      <c r="O3" s="16" t="s">
        <v>17</v>
      </c>
      <c r="P3" s="16" t="s">
        <v>6</v>
      </c>
      <c r="Q3" s="16" t="s">
        <v>15</v>
      </c>
    </row>
    <row r="4" spans="1:21" x14ac:dyDescent="0.25">
      <c r="A4" s="8">
        <v>1</v>
      </c>
      <c r="B4" s="8">
        <f ca="1">RANDBETWEEN(0,4)</f>
        <v>3</v>
      </c>
      <c r="D4" s="3">
        <v>1</v>
      </c>
      <c r="E4" s="3">
        <v>1</v>
      </c>
      <c r="F4" s="3">
        <v>20</v>
      </c>
      <c r="G4" s="3">
        <f>F4/$F$9</f>
        <v>0.2</v>
      </c>
      <c r="H4" s="3">
        <f>G4</f>
        <v>0.2</v>
      </c>
      <c r="I4" s="6">
        <v>0.1</v>
      </c>
      <c r="J4" s="6">
        <f>H4</f>
        <v>0.2</v>
      </c>
      <c r="N4" s="3">
        <v>1</v>
      </c>
      <c r="O4" s="8">
        <v>1</v>
      </c>
      <c r="P4" s="3">
        <f t="shared" ref="P4:P40" ca="1" si="0">RAND()</f>
        <v>0.91061340879639963</v>
      </c>
      <c r="Q4" s="11">
        <f ca="1">IF(AND(P4&gt;=$I$4,P4&lt;=$J$4),$E$4,
IF(AND(P4&gt;=$I$5,P4&lt;=$J$5),$E$5,
IF(AND(P4&gt;=$I$6,P4&lt;=$J$6),$E$6,
IF(AND(P4&gt;=$I$7,P4&lt;=$J$7),$E$7,
IF(AND(P4&gt;=$I$8,P4&lt;=$J$8),$E$8,
0)))))</f>
        <v>20</v>
      </c>
      <c r="R4" s="19"/>
      <c r="T4" s="8" t="s">
        <v>11</v>
      </c>
      <c r="U4" s="8">
        <f ca="1">SUM(Q:Q)</f>
        <v>251</v>
      </c>
    </row>
    <row r="5" spans="1:21" x14ac:dyDescent="0.25">
      <c r="A5" s="8">
        <v>2</v>
      </c>
      <c r="B5" s="8">
        <f t="shared" ref="B5:B21" ca="1" si="1">RANDBETWEEN(0,4)</f>
        <v>1</v>
      </c>
      <c r="D5" s="3">
        <v>2</v>
      </c>
      <c r="E5" s="3">
        <v>2</v>
      </c>
      <c r="F5" s="3">
        <v>10</v>
      </c>
      <c r="G5" s="7">
        <f>F5/$F$9</f>
        <v>0.1</v>
      </c>
      <c r="H5" s="3">
        <f>H4+G5</f>
        <v>0.30000000000000004</v>
      </c>
      <c r="I5" s="6">
        <f>J4+0.01</f>
        <v>0.21000000000000002</v>
      </c>
      <c r="J5" s="7">
        <f>H5</f>
        <v>0.30000000000000004</v>
      </c>
      <c r="N5" s="3">
        <v>2</v>
      </c>
      <c r="O5" s="8">
        <v>2</v>
      </c>
      <c r="P5" s="11">
        <f t="shared" ca="1" si="0"/>
        <v>0.69722321982923086</v>
      </c>
      <c r="Q5" s="11">
        <f ca="1">IF(AND(P5&gt;=$I$4,P5&lt;=$J$4),$E$4,
IF(AND(P5&gt;=$I$5,P5&lt;=$J$5),$E$5,
IF(AND(P5&gt;=$I$6,P5&lt;=$J$6),$E$6,
IF(AND(P5&gt;=$I$7,P5&lt;=$J$7),$E$7,
IF(AND(P5&gt;=$I$8,P5&lt;=$J$8),$E$8,
0)))))</f>
        <v>10</v>
      </c>
      <c r="R5" s="19"/>
      <c r="T5" s="8" t="s">
        <v>16</v>
      </c>
      <c r="U5" s="13">
        <f ca="1">U4/90</f>
        <v>2.7888888888888888</v>
      </c>
    </row>
    <row r="6" spans="1:21" x14ac:dyDescent="0.25">
      <c r="A6" s="8">
        <v>3</v>
      </c>
      <c r="B6" s="8">
        <f t="shared" ca="1" si="1"/>
        <v>2</v>
      </c>
      <c r="D6" s="12">
        <v>3</v>
      </c>
      <c r="E6" s="12">
        <v>5</v>
      </c>
      <c r="F6" s="12">
        <v>30</v>
      </c>
      <c r="G6" s="7">
        <f>F6/$F$9</f>
        <v>0.3</v>
      </c>
      <c r="H6" s="7">
        <f t="shared" ref="H6:H8" si="2">H5+G6</f>
        <v>0.60000000000000009</v>
      </c>
      <c r="I6" s="11">
        <f t="shared" ref="I6:I8" si="3">J5+0.01</f>
        <v>0.31000000000000005</v>
      </c>
      <c r="J6" s="7">
        <f>H6</f>
        <v>0.60000000000000009</v>
      </c>
      <c r="N6" s="9">
        <v>3</v>
      </c>
      <c r="O6" s="8">
        <v>3</v>
      </c>
      <c r="P6" s="11">
        <f t="shared" ca="1" si="0"/>
        <v>0.69654404571374007</v>
      </c>
      <c r="Q6" s="11">
        <f ca="1">IF(AND(P6&gt;=$I$4,P6&lt;=$J$4),$E$4,
IF(AND(P6&gt;=$I$5,P6&lt;=$J$5),$E$5,
IF(AND(P6&gt;=$I$6,P6&lt;=$J$6),$E$6,
IF(AND(P6&gt;=$I$7,P6&lt;=$J$7),$E$7,
IF(AND(P6&gt;=$I$8,P6&lt;=$J$8),$E$8,
0)))))</f>
        <v>10</v>
      </c>
      <c r="R6" s="19"/>
    </row>
    <row r="7" spans="1:21" x14ac:dyDescent="0.25">
      <c r="A7" s="8">
        <v>4</v>
      </c>
      <c r="B7" s="8">
        <f t="shared" ca="1" si="1"/>
        <v>4</v>
      </c>
      <c r="D7" s="3">
        <v>4</v>
      </c>
      <c r="E7" s="3">
        <v>10</v>
      </c>
      <c r="F7" s="3">
        <v>20</v>
      </c>
      <c r="G7" s="7">
        <f>F7/$F$9</f>
        <v>0.2</v>
      </c>
      <c r="H7" s="7">
        <f t="shared" si="2"/>
        <v>0.8</v>
      </c>
      <c r="I7" s="11">
        <f t="shared" si="3"/>
        <v>0.6100000000000001</v>
      </c>
      <c r="J7" s="7">
        <f>H7</f>
        <v>0.8</v>
      </c>
      <c r="N7" s="9">
        <v>4</v>
      </c>
      <c r="O7" s="8">
        <v>4</v>
      </c>
      <c r="P7" s="11">
        <f t="shared" ca="1" si="0"/>
        <v>0.5685759731007437</v>
      </c>
      <c r="Q7" s="11">
        <f ca="1">IF(AND(P7&gt;=$I$4,P7&lt;=$J$4),$E$4,
IF(AND(P7&gt;=$I$5,P7&lt;=$J$5),$E$5,
IF(AND(P7&gt;=$I$6,P7&lt;=$J$6),$E$6,
IF(AND(P7&gt;=$I$7,P7&lt;=$J$7),$E$7,
IF(AND(P7&gt;=$I$8,P7&lt;=$J$8),$E$8,
0)))))</f>
        <v>5</v>
      </c>
      <c r="R7" s="19"/>
    </row>
    <row r="8" spans="1:21" x14ac:dyDescent="0.25">
      <c r="A8" s="8">
        <v>5</v>
      </c>
      <c r="B8" s="8">
        <f t="shared" ca="1" si="1"/>
        <v>0</v>
      </c>
      <c r="D8" s="3">
        <v>5</v>
      </c>
      <c r="E8" s="3">
        <v>20</v>
      </c>
      <c r="F8" s="3">
        <v>20</v>
      </c>
      <c r="G8" s="7">
        <f>F8/$F$9</f>
        <v>0.2</v>
      </c>
      <c r="H8" s="7">
        <f t="shared" si="2"/>
        <v>1</v>
      </c>
      <c r="I8" s="11">
        <f t="shared" si="3"/>
        <v>0.81</v>
      </c>
      <c r="J8" s="7">
        <f>H8</f>
        <v>1</v>
      </c>
      <c r="N8" s="9">
        <v>5</v>
      </c>
      <c r="O8" s="8">
        <v>5</v>
      </c>
      <c r="P8" s="11">
        <f t="shared" ca="1" si="0"/>
        <v>0.99159909785180678</v>
      </c>
      <c r="Q8" s="11">
        <f ca="1">IF(AND(P8&gt;=$I$4,P8&lt;=$J$4),$E$4,
IF(AND(P8&gt;=$I$5,P8&lt;=$J$5),$E$5,
IF(AND(P8&gt;=$I$6,P8&lt;=$J$6),$E$6,
IF(AND(P8&gt;=$I$7,P8&lt;=$J$7),$E$7,
IF(AND(P8&gt;=$I$8,P8&lt;=$J$8),$E$8,
0)))))</f>
        <v>20</v>
      </c>
      <c r="R8" s="19"/>
    </row>
    <row r="9" spans="1:21" x14ac:dyDescent="0.25">
      <c r="A9" s="8">
        <v>6</v>
      </c>
      <c r="B9" s="8">
        <f t="shared" ca="1" si="1"/>
        <v>3</v>
      </c>
      <c r="D9" s="17" t="s">
        <v>2</v>
      </c>
      <c r="E9" s="18"/>
      <c r="F9" s="3">
        <f>SUM(F4:F8)</f>
        <v>100</v>
      </c>
      <c r="G9" s="3"/>
      <c r="H9" s="3"/>
      <c r="I9" s="6"/>
      <c r="J9" s="6"/>
      <c r="N9" s="9">
        <v>6</v>
      </c>
      <c r="O9" s="8">
        <v>6</v>
      </c>
      <c r="P9" s="11">
        <f t="shared" ca="1" si="0"/>
        <v>4.9317151556161454E-2</v>
      </c>
      <c r="Q9" s="11">
        <f ca="1">IF(AND(P9&gt;=$I$4,P9&lt;=$J$4),$E$4,
IF(AND(P9&gt;=$I$5,P9&lt;=$J$5),$E$5,
IF(AND(P9&gt;=$I$6,P9&lt;=$J$6),$E$6,
IF(AND(P9&gt;=$I$7,P9&lt;=$J$7),$E$7,
IF(AND(P9&gt;=$I$8,P9&lt;=$J$8),$E$8,
0)))))</f>
        <v>0</v>
      </c>
      <c r="R9" s="19"/>
    </row>
    <row r="10" spans="1:21" x14ac:dyDescent="0.25">
      <c r="A10" s="8">
        <v>7</v>
      </c>
      <c r="B10" s="8">
        <f t="shared" ca="1" si="1"/>
        <v>3</v>
      </c>
      <c r="H10" t="str">
        <f>CONCATENATE(I4,"&lt;x&lt;=",J4)</f>
        <v>0,1&lt;x&lt;=0,2</v>
      </c>
      <c r="N10" s="9">
        <v>7</v>
      </c>
      <c r="O10" s="8">
        <v>7</v>
      </c>
      <c r="P10" s="11">
        <f t="shared" ca="1" si="0"/>
        <v>0.81309554678714568</v>
      </c>
      <c r="Q10" s="11">
        <f ca="1">IF(AND(P10&gt;=$I$4,P10&lt;=$J$4),$E$4,
IF(AND(P10&gt;=$I$5,P10&lt;=$J$5),$E$5,
IF(AND(P10&gt;=$I$6,P10&lt;=$J$6),$E$6,
IF(AND(P10&gt;=$I$7,P10&lt;=$J$7),$E$7,
IF(AND(P10&gt;=$I$8,P10&lt;=$J$8),$E$8,
0)))))</f>
        <v>20</v>
      </c>
      <c r="R10" s="19"/>
    </row>
    <row r="11" spans="1:21" x14ac:dyDescent="0.25">
      <c r="A11" s="8">
        <v>8</v>
      </c>
      <c r="B11" s="8">
        <f t="shared" ca="1" si="1"/>
        <v>1</v>
      </c>
      <c r="H11" t="str">
        <f t="shared" ref="H11:H14" si="4">CONCATENATE(I5,"&lt;x&lt;=",J5)</f>
        <v>0,21&lt;x&lt;=0,3</v>
      </c>
      <c r="N11" s="9">
        <v>8</v>
      </c>
      <c r="O11" s="8">
        <v>8</v>
      </c>
      <c r="P11" s="11">
        <f t="shared" ca="1" si="0"/>
        <v>0.24177817146839098</v>
      </c>
      <c r="Q11" s="11">
        <f ca="1">IF(AND(P11&gt;=$I$4,P11&lt;=$J$4),$E$4,
IF(AND(P11&gt;=$I$5,P11&lt;=$J$5),$E$5,
IF(AND(P11&gt;=$I$6,P11&lt;=$J$6),$E$6,
IF(AND(P11&gt;=$I$7,P11&lt;=$J$7),$E$7,
IF(AND(P11&gt;=$I$8,P11&lt;=$J$8),$E$8,
0)))))</f>
        <v>2</v>
      </c>
      <c r="R11" s="19"/>
    </row>
    <row r="12" spans="1:21" x14ac:dyDescent="0.25">
      <c r="A12" s="8">
        <v>9</v>
      </c>
      <c r="B12" s="8">
        <f t="shared" ca="1" si="1"/>
        <v>0</v>
      </c>
      <c r="H12" t="str">
        <f t="shared" si="4"/>
        <v>0,31&lt;x&lt;=0,6</v>
      </c>
      <c r="N12" s="9">
        <v>9</v>
      </c>
      <c r="O12" s="8">
        <v>9</v>
      </c>
      <c r="P12" s="9">
        <f ca="1">RAND()</f>
        <v>0.75395031194995188</v>
      </c>
      <c r="Q12" s="11">
        <f ca="1">IF(AND(P12&gt;=$I$4,P12&lt;=$J$4),$E$4,
IF(AND(P12&gt;=$I$5,P12&lt;=$J$5),$E$5,
IF(AND(P12&gt;=$I$6,P12&lt;=$J$6),$E$6,
IF(AND(P12&gt;=$I$7,P12&lt;=$J$7),$E$7,
IF(AND(P12&gt;=$I$8,P12&lt;=$J$8),$E$8,
0)))))</f>
        <v>10</v>
      </c>
      <c r="R12" s="19"/>
    </row>
    <row r="13" spans="1:21" x14ac:dyDescent="0.25">
      <c r="A13" s="8">
        <v>10</v>
      </c>
      <c r="B13" s="8">
        <f t="shared" ca="1" si="1"/>
        <v>3</v>
      </c>
      <c r="H13" t="str">
        <f t="shared" si="4"/>
        <v>0,61&lt;x&lt;=0,8</v>
      </c>
      <c r="N13" s="9">
        <v>10</v>
      </c>
      <c r="O13" s="8">
        <v>10</v>
      </c>
      <c r="P13" s="11">
        <f ca="1">RAND()</f>
        <v>0.27443472191453655</v>
      </c>
      <c r="Q13" s="11">
        <f ca="1">IF(AND(P13&gt;=$I$4,P13&lt;=$J$4),$E$4,
IF(AND(P13&gt;=$I$5,P13&lt;=$J$5),$E$5,
IF(AND(P13&gt;=$I$6,P13&lt;=$J$6),$E$6,
IF(AND(P13&gt;=$I$7,P13&lt;=$J$7),$E$7,
IF(AND(P13&gt;=$I$8,P13&lt;=$J$8),$E$8,
0)))))</f>
        <v>2</v>
      </c>
      <c r="R13" s="19"/>
    </row>
    <row r="14" spans="1:21" x14ac:dyDescent="0.25">
      <c r="A14" s="8">
        <v>11</v>
      </c>
      <c r="B14" s="8">
        <f t="shared" ca="1" si="1"/>
        <v>2</v>
      </c>
      <c r="H14" t="str">
        <f t="shared" si="4"/>
        <v>0,81&lt;x&lt;=1</v>
      </c>
      <c r="N14" s="11">
        <v>11</v>
      </c>
      <c r="O14" s="8">
        <v>11</v>
      </c>
      <c r="P14" s="11">
        <f t="shared" ca="1" si="0"/>
        <v>0.43042893112775127</v>
      </c>
      <c r="Q14" s="11">
        <f ca="1">IF(AND(P14&gt;=$I$4,P14&lt;=$J$4),$E$4,
IF(AND(P14&gt;=$I$5,P14&lt;=$J$5),$E$5,
IF(AND(P14&gt;=$I$6,P14&lt;=$J$6),$E$6,
IF(AND(P14&gt;=$I$7,P14&lt;=$J$7),$E$7,
IF(AND(P14&gt;=$I$8,P14&lt;=$J$8),$E$8,
0)))))</f>
        <v>5</v>
      </c>
      <c r="R14" s="20"/>
    </row>
    <row r="15" spans="1:21" x14ac:dyDescent="0.25">
      <c r="A15" s="8">
        <v>12</v>
      </c>
      <c r="B15" s="8">
        <f t="shared" ca="1" si="1"/>
        <v>0</v>
      </c>
      <c r="N15" s="11">
        <v>12</v>
      </c>
      <c r="O15" s="8">
        <v>12</v>
      </c>
      <c r="P15" s="11">
        <f t="shared" ca="1" si="0"/>
        <v>0.10657592726445064</v>
      </c>
      <c r="Q15" s="11">
        <f ca="1">IF(AND(P15&gt;=$I$4,P15&lt;=$J$4),$E$4,
IF(AND(P15&gt;=$I$5,P15&lt;=$J$5),$E$5,
IF(AND(P15&gt;=$I$6,P15&lt;=$J$6),$E$6,
IF(AND(P15&gt;=$I$7,P15&lt;=$J$7),$E$7,
IF(AND(P15&gt;=$I$8,P15&lt;=$J$8),$E$8,
0)))))</f>
        <v>1</v>
      </c>
    </row>
    <row r="16" spans="1:21" x14ac:dyDescent="0.25">
      <c r="A16" s="8">
        <v>13</v>
      </c>
      <c r="B16" s="8">
        <f t="shared" ca="1" si="1"/>
        <v>3</v>
      </c>
      <c r="N16" s="11">
        <v>13</v>
      </c>
      <c r="O16" s="8">
        <v>13</v>
      </c>
      <c r="P16" s="11">
        <f t="shared" ca="1" si="0"/>
        <v>0.20146542229881614</v>
      </c>
      <c r="Q16" s="11">
        <f ca="1">IF(AND(P16&gt;=$I$4,P16&lt;=$J$4),$E$4,
IF(AND(P16&gt;=$I$5,P16&lt;=$J$5),$E$5,
IF(AND(P16&gt;=$I$6,P16&lt;=$J$6),$E$6,
IF(AND(P16&gt;=$I$7,P16&lt;=$J$7),$E$7,
IF(AND(P16&gt;=$I$8,P16&lt;=$J$8),$E$8,
0)))))</f>
        <v>0</v>
      </c>
    </row>
    <row r="17" spans="1:17" x14ac:dyDescent="0.25">
      <c r="A17" s="8">
        <v>14</v>
      </c>
      <c r="B17" s="8">
        <f t="shared" ca="1" si="1"/>
        <v>3</v>
      </c>
      <c r="N17" s="11">
        <v>14</v>
      </c>
      <c r="O17" s="8">
        <v>14</v>
      </c>
      <c r="P17" s="11">
        <f t="shared" ca="1" si="0"/>
        <v>0.46018489804051954</v>
      </c>
      <c r="Q17" s="11">
        <f ca="1">IF(AND(P17&gt;=$I$4,P17&lt;=$J$4),$E$4,
IF(AND(P17&gt;=$I$5,P17&lt;=$J$5),$E$5,
IF(AND(P17&gt;=$I$6,P17&lt;=$J$6),$E$6,
IF(AND(P17&gt;=$I$7,P17&lt;=$J$7),$E$7,
IF(AND(P17&gt;=$I$8,P17&lt;=$J$8),$E$8,
0)))))</f>
        <v>5</v>
      </c>
    </row>
    <row r="18" spans="1:17" x14ac:dyDescent="0.25">
      <c r="A18" s="8">
        <v>15</v>
      </c>
      <c r="B18" s="8">
        <f t="shared" ca="1" si="1"/>
        <v>3</v>
      </c>
      <c r="N18" s="11">
        <v>15</v>
      </c>
      <c r="O18" s="8">
        <v>15</v>
      </c>
      <c r="P18" s="11">
        <f t="shared" ca="1" si="0"/>
        <v>0.95188715359253329</v>
      </c>
      <c r="Q18" s="11">
        <f ca="1">IF(AND(P18&gt;=$I$4,P18&lt;=$J$4),$E$4,
IF(AND(P18&gt;=$I$5,P18&lt;=$J$5),$E$5,
IF(AND(P18&gt;=$I$6,P18&lt;=$J$6),$E$6,
IF(AND(P18&gt;=$I$7,P18&lt;=$J$7),$E$7,
IF(AND(P18&gt;=$I$8,P18&lt;=$J$8),$E$8,
0)))))</f>
        <v>20</v>
      </c>
    </row>
    <row r="19" spans="1:17" x14ac:dyDescent="0.25">
      <c r="A19" s="8">
        <v>16</v>
      </c>
      <c r="B19" s="8">
        <f t="shared" ca="1" si="1"/>
        <v>4</v>
      </c>
      <c r="N19" s="11">
        <v>16</v>
      </c>
      <c r="O19" s="8">
        <v>16</v>
      </c>
      <c r="P19" s="11">
        <f t="shared" ca="1" si="0"/>
        <v>0.55092597075741112</v>
      </c>
      <c r="Q19" s="11">
        <f ca="1">IF(AND(P19&gt;=$I$4,P19&lt;=$J$4),$E$4,
IF(AND(P19&gt;=$I$5,P19&lt;=$J$5),$E$5,
IF(AND(P19&gt;=$I$6,P19&lt;=$J$6),$E$6,
IF(AND(P19&gt;=$I$7,P19&lt;=$J$7),$E$7,
IF(AND(P19&gt;=$I$8,P19&lt;=$J$8),$E$8,
0)))))</f>
        <v>5</v>
      </c>
    </row>
    <row r="20" spans="1:17" x14ac:dyDescent="0.25">
      <c r="A20" s="10">
        <v>17</v>
      </c>
      <c r="B20" s="8">
        <f t="shared" ca="1" si="1"/>
        <v>3</v>
      </c>
      <c r="N20" s="11">
        <v>17</v>
      </c>
      <c r="O20" s="8">
        <v>17</v>
      </c>
      <c r="P20" s="11">
        <f t="shared" ca="1" si="0"/>
        <v>0.86476000422404564</v>
      </c>
      <c r="Q20" s="11">
        <f ca="1">IF(AND(P20&gt;=$I$4,P20&lt;=$J$4),$E$4,
IF(AND(P20&gt;=$I$5,P20&lt;=$J$5),$E$5,
IF(AND(P20&gt;=$I$6,P20&lt;=$J$6),$E$6,
IF(AND(P20&gt;=$I$7,P20&lt;=$J$7),$E$7,
IF(AND(P20&gt;=$I$8,P20&lt;=$J$8),$E$8,
0)))))</f>
        <v>20</v>
      </c>
    </row>
    <row r="21" spans="1:17" x14ac:dyDescent="0.25">
      <c r="A21" s="10">
        <v>18</v>
      </c>
      <c r="B21" s="8">
        <f t="shared" ca="1" si="1"/>
        <v>0</v>
      </c>
      <c r="N21" s="11">
        <v>18</v>
      </c>
      <c r="O21" s="8">
        <v>18</v>
      </c>
      <c r="P21" s="11">
        <f t="shared" ca="1" si="0"/>
        <v>0.71364735883376329</v>
      </c>
      <c r="Q21" s="11">
        <f ca="1">IF(AND(P21&gt;=$I$4,P21&lt;=$J$4),$E$4,
IF(AND(P21&gt;=$I$5,P21&lt;=$J$5),$E$5,
IF(AND(P21&gt;=$I$6,P21&lt;=$J$6),$E$6,
IF(AND(P21&gt;=$I$7,P21&lt;=$J$7),$E$7,
IF(AND(P21&gt;=$I$8,P21&lt;=$J$8),$E$8,
0)))))</f>
        <v>10</v>
      </c>
    </row>
    <row r="22" spans="1:17" x14ac:dyDescent="0.25">
      <c r="N22" s="11">
        <v>19</v>
      </c>
      <c r="O22" s="8">
        <v>19</v>
      </c>
      <c r="P22" s="11">
        <f t="shared" ca="1" si="0"/>
        <v>0.34942404667244231</v>
      </c>
      <c r="Q22" s="11">
        <f ca="1">IF(AND(P22&gt;=$I$4,P22&lt;=$J$4),$E$4,
IF(AND(P22&gt;=$I$5,P22&lt;=$J$5),$E$5,
IF(AND(P22&gt;=$I$6,P22&lt;=$J$6),$E$6,
IF(AND(P22&gt;=$I$7,P22&lt;=$J$7),$E$7,
IF(AND(P22&gt;=$I$8,P22&lt;=$J$8),$E$8,
0)))))</f>
        <v>5</v>
      </c>
    </row>
    <row r="23" spans="1:17" x14ac:dyDescent="0.25">
      <c r="N23" s="11">
        <v>20</v>
      </c>
      <c r="O23" s="8">
        <v>20</v>
      </c>
      <c r="P23" s="11">
        <f t="shared" ca="1" si="0"/>
        <v>0.13758001994441782</v>
      </c>
      <c r="Q23" s="11">
        <f ca="1">IF(AND(P23&gt;=$I$4,P23&lt;=$J$4),$E$4,
IF(AND(P23&gt;=$I$5,P23&lt;=$J$5),$E$5,
IF(AND(P23&gt;=$I$6,P23&lt;=$J$6),$E$6,
IF(AND(P23&gt;=$I$7,P23&lt;=$J$7),$E$7,
IF(AND(P23&gt;=$I$8,P23&lt;=$J$8),$E$8,
0)))))</f>
        <v>1</v>
      </c>
    </row>
    <row r="24" spans="1:17" x14ac:dyDescent="0.25">
      <c r="N24" s="11">
        <v>21</v>
      </c>
      <c r="O24" s="8">
        <v>21</v>
      </c>
      <c r="P24" s="11">
        <f t="shared" ca="1" si="0"/>
        <v>0.29078228898878278</v>
      </c>
      <c r="Q24" s="11">
        <f ca="1">IF(AND(P24&gt;=$I$4,P24&lt;=$J$4),$E$4,
IF(AND(P24&gt;=$I$5,P24&lt;=$J$5),$E$5,
IF(AND(P24&gt;=$I$6,P24&lt;=$J$6),$E$6,
IF(AND(P24&gt;=$I$7,P24&lt;=$J$7),$E$7,
IF(AND(P24&gt;=$I$8,P24&lt;=$J$8),$E$8,
0)))))</f>
        <v>2</v>
      </c>
    </row>
    <row r="25" spans="1:17" x14ac:dyDescent="0.25">
      <c r="N25" s="11">
        <v>22</v>
      </c>
      <c r="O25" s="8">
        <v>22</v>
      </c>
      <c r="P25" s="11">
        <f t="shared" ca="1" si="0"/>
        <v>0.40068632476060184</v>
      </c>
      <c r="Q25" s="11">
        <f ca="1">IF(AND(P25&gt;=$I$4,P25&lt;=$J$4),$E$4,
IF(AND(P25&gt;=$I$5,P25&lt;=$J$5),$E$5,
IF(AND(P25&gt;=$I$6,P25&lt;=$J$6),$E$6,
IF(AND(P25&gt;=$I$7,P25&lt;=$J$7),$E$7,
IF(AND(P25&gt;=$I$8,P25&lt;=$J$8),$E$8,
0)))))</f>
        <v>5</v>
      </c>
    </row>
    <row r="26" spans="1:17" x14ac:dyDescent="0.25">
      <c r="N26" s="11">
        <v>23</v>
      </c>
      <c r="O26" s="8">
        <v>23</v>
      </c>
      <c r="P26" s="11">
        <f t="shared" ca="1" si="0"/>
        <v>0.59004538026408282</v>
      </c>
      <c r="Q26" s="11">
        <f ca="1">IF(AND(P26&gt;=$I$4,P26&lt;=$J$4),$E$4,
IF(AND(P26&gt;=$I$5,P26&lt;=$J$5),$E$5,
IF(AND(P26&gt;=$I$6,P26&lt;=$J$6),$E$6,
IF(AND(P26&gt;=$I$7,P26&lt;=$J$7),$E$7,
IF(AND(P26&gt;=$I$8,P26&lt;=$J$8),$E$8,
0)))))</f>
        <v>5</v>
      </c>
    </row>
    <row r="27" spans="1:17" x14ac:dyDescent="0.25">
      <c r="N27" s="11">
        <v>24</v>
      </c>
      <c r="O27" s="8">
        <v>24</v>
      </c>
      <c r="P27" s="11">
        <f t="shared" ca="1" si="0"/>
        <v>0.65508290930525748</v>
      </c>
      <c r="Q27" s="11">
        <f ca="1">IF(AND(P27&gt;=$I$4,P27&lt;=$J$4),$E$4,
IF(AND(P27&gt;=$I$5,P27&lt;=$J$5),$E$5,
IF(AND(P27&gt;=$I$6,P27&lt;=$J$6),$E$6,
IF(AND(P27&gt;=$I$7,P27&lt;=$J$7),$E$7,
IF(AND(P27&gt;=$I$8,P27&lt;=$J$8),$E$8,
0)))))</f>
        <v>10</v>
      </c>
    </row>
    <row r="28" spans="1:17" x14ac:dyDescent="0.25">
      <c r="N28" s="11">
        <v>25</v>
      </c>
      <c r="O28" s="8">
        <v>25</v>
      </c>
      <c r="P28" s="11">
        <f t="shared" ca="1" si="0"/>
        <v>0.12822585990408941</v>
      </c>
      <c r="Q28" s="11">
        <f ca="1">IF(AND(P28&gt;=$I$4,P28&lt;=$J$4),$E$4,
IF(AND(P28&gt;=$I$5,P28&lt;=$J$5),$E$5,
IF(AND(P28&gt;=$I$6,P28&lt;=$J$6),$E$6,
IF(AND(P28&gt;=$I$7,P28&lt;=$J$7),$E$7,
IF(AND(P28&gt;=$I$8,P28&lt;=$J$8),$E$8,
0)))))</f>
        <v>1</v>
      </c>
    </row>
    <row r="29" spans="1:17" x14ac:dyDescent="0.25">
      <c r="N29" s="11">
        <v>26</v>
      </c>
      <c r="O29" s="8">
        <v>26</v>
      </c>
      <c r="P29" s="11">
        <f t="shared" ca="1" si="0"/>
        <v>0.6369892019453004</v>
      </c>
      <c r="Q29" s="11">
        <f ca="1">IF(AND(P29&gt;=$I$4,P29&lt;=$J$4),$E$4,
IF(AND(P29&gt;=$I$5,P29&lt;=$J$5),$E$5,
IF(AND(P29&gt;=$I$6,P29&lt;=$J$6),$E$6,
IF(AND(P29&gt;=$I$7,P29&lt;=$J$7),$E$7,
IF(AND(P29&gt;=$I$8,P29&lt;=$J$8),$E$8,
0)))))</f>
        <v>10</v>
      </c>
    </row>
    <row r="30" spans="1:17" x14ac:dyDescent="0.25">
      <c r="N30" s="11">
        <v>27</v>
      </c>
      <c r="O30" s="8">
        <v>27</v>
      </c>
      <c r="P30" s="11">
        <f t="shared" ca="1" si="0"/>
        <v>0.5478625773103456</v>
      </c>
      <c r="Q30" s="11">
        <f ca="1">IF(AND(P30&gt;=$I$4,P30&lt;=$J$4),$E$4,
IF(AND(P30&gt;=$I$5,P30&lt;=$J$5),$E$5,
IF(AND(P30&gt;=$I$6,P30&lt;=$J$6),$E$6,
IF(AND(P30&gt;=$I$7,P30&lt;=$J$7),$E$7,
IF(AND(P30&gt;=$I$8,P30&lt;=$J$8),$E$8,
0)))))</f>
        <v>5</v>
      </c>
    </row>
    <row r="31" spans="1:17" x14ac:dyDescent="0.25">
      <c r="N31" s="11">
        <v>28</v>
      </c>
      <c r="O31" s="8">
        <v>28</v>
      </c>
      <c r="P31" s="11">
        <f t="shared" ca="1" si="0"/>
        <v>0.11218568148368746</v>
      </c>
      <c r="Q31" s="11">
        <f ca="1">IF(AND(P31&gt;=$I$4,P31&lt;=$J$4),$E$4,
IF(AND(P31&gt;=$I$5,P31&lt;=$J$5),$E$5,
IF(AND(P31&gt;=$I$6,P31&lt;=$J$6),$E$6,
IF(AND(P31&gt;=$I$7,P31&lt;=$J$7),$E$7,
IF(AND(P31&gt;=$I$8,P31&lt;=$J$8),$E$8,
0)))))</f>
        <v>1</v>
      </c>
    </row>
    <row r="32" spans="1:17" x14ac:dyDescent="0.25">
      <c r="N32" s="11">
        <v>29</v>
      </c>
      <c r="O32" s="8">
        <v>29</v>
      </c>
      <c r="P32" s="11">
        <f t="shared" ca="1" si="0"/>
        <v>0.4902897674265102</v>
      </c>
      <c r="Q32" s="11">
        <f ca="1">IF(AND(P32&gt;=$I$4,P32&lt;=$J$4),$E$4,
IF(AND(P32&gt;=$I$5,P32&lt;=$J$5),$E$5,
IF(AND(P32&gt;=$I$6,P32&lt;=$J$6),$E$6,
IF(AND(P32&gt;=$I$7,P32&lt;=$J$7),$E$7,
IF(AND(P32&gt;=$I$8,P32&lt;=$J$8),$E$8,
0)))))</f>
        <v>5</v>
      </c>
    </row>
    <row r="33" spans="14:17" x14ac:dyDescent="0.25">
      <c r="N33" s="11">
        <v>30</v>
      </c>
      <c r="O33" s="8">
        <v>30</v>
      </c>
      <c r="P33" s="11">
        <f t="shared" ca="1" si="0"/>
        <v>0.2072029115909283</v>
      </c>
      <c r="Q33" s="11">
        <f ca="1">IF(AND(P33&gt;=$I$4,P33&lt;=$J$4),$E$4,
IF(AND(P33&gt;=$I$5,P33&lt;=$J$5),$E$5,
IF(AND(P33&gt;=$I$6,P33&lt;=$J$6),$E$6,
IF(AND(P33&gt;=$I$7,P33&lt;=$J$7),$E$7,
IF(AND(P33&gt;=$I$8,P33&lt;=$J$8),$E$8,
0)))))</f>
        <v>0</v>
      </c>
    </row>
    <row r="34" spans="14:17" x14ac:dyDescent="0.25">
      <c r="N34" s="11">
        <v>31</v>
      </c>
      <c r="O34" s="8">
        <v>31</v>
      </c>
      <c r="P34" s="11">
        <f t="shared" ca="1" si="0"/>
        <v>0.32201318203188067</v>
      </c>
      <c r="Q34" s="11">
        <f ca="1">IF(AND(P34&gt;=$I$4,P34&lt;=$J$4),$E$4,
IF(AND(P34&gt;=$I$5,P34&lt;=$J$5),$E$5,
IF(AND(P34&gt;=$I$6,P34&lt;=$J$6),$E$6,
IF(AND(P34&gt;=$I$7,P34&lt;=$J$7),$E$7,
IF(AND(P34&gt;=$I$8,P34&lt;=$J$8),$E$8,
0)))))</f>
        <v>5</v>
      </c>
    </row>
    <row r="35" spans="14:17" x14ac:dyDescent="0.25">
      <c r="N35" s="11">
        <v>32</v>
      </c>
      <c r="O35" s="8">
        <v>32</v>
      </c>
      <c r="P35" s="11">
        <f t="shared" ca="1" si="0"/>
        <v>0.30393699340972136</v>
      </c>
      <c r="Q35" s="11">
        <f ca="1">IF(AND(P35&gt;=$I$4,P35&lt;=$J$4),$E$4,
IF(AND(P35&gt;=$I$5,P35&lt;=$J$5),$E$5,
IF(AND(P35&gt;=$I$6,P35&lt;=$J$6),$E$6,
IF(AND(P35&gt;=$I$7,P35&lt;=$J$7),$E$7,
IF(AND(P35&gt;=$I$8,P35&lt;=$J$8),$E$8,
0)))))</f>
        <v>0</v>
      </c>
    </row>
    <row r="36" spans="14:17" x14ac:dyDescent="0.25">
      <c r="N36" s="11">
        <v>33</v>
      </c>
      <c r="O36" s="8">
        <v>33</v>
      </c>
      <c r="P36" s="11">
        <f t="shared" ca="1" si="0"/>
        <v>0.75879406366139035</v>
      </c>
      <c r="Q36" s="11">
        <f ca="1">IF(AND(P36&gt;=$I$4,P36&lt;=$J$4),$E$4,
IF(AND(P36&gt;=$I$5,P36&lt;=$J$5),$E$5,
IF(AND(P36&gt;=$I$6,P36&lt;=$J$6),$E$6,
IF(AND(P36&gt;=$I$7,P36&lt;=$J$7),$E$7,
IF(AND(P36&gt;=$I$8,P36&lt;=$J$8),$E$8,
0)))))</f>
        <v>10</v>
      </c>
    </row>
    <row r="37" spans="14:17" x14ac:dyDescent="0.25">
      <c r="N37" s="11">
        <v>34</v>
      </c>
      <c r="O37" s="8">
        <v>34</v>
      </c>
      <c r="P37" s="11">
        <f t="shared" ca="1" si="0"/>
        <v>0.37531707770704892</v>
      </c>
      <c r="Q37" s="11">
        <f ca="1">IF(AND(P37&gt;=$I$4,P37&lt;=$J$4),$E$4,
IF(AND(P37&gt;=$I$5,P37&lt;=$J$5),$E$5,
IF(AND(P37&gt;=$I$6,P37&lt;=$J$6),$E$6,
IF(AND(P37&gt;=$I$7,P37&lt;=$J$7),$E$7,
IF(AND(P37&gt;=$I$8,P37&lt;=$J$8),$E$8,
0)))))</f>
        <v>5</v>
      </c>
    </row>
    <row r="38" spans="14:17" x14ac:dyDescent="0.25">
      <c r="N38" s="11">
        <v>35</v>
      </c>
      <c r="O38" s="8">
        <v>35</v>
      </c>
      <c r="P38" s="11">
        <f t="shared" ca="1" si="0"/>
        <v>0.17834611375776999</v>
      </c>
      <c r="Q38" s="11">
        <f ca="1">IF(AND(P38&gt;=$I$4,P38&lt;=$J$4),$E$4,
IF(AND(P38&gt;=$I$5,P38&lt;=$J$5),$E$5,
IF(AND(P38&gt;=$I$6,P38&lt;=$J$6),$E$6,
IF(AND(P38&gt;=$I$7,P38&lt;=$J$7),$E$7,
IF(AND(P38&gt;=$I$8,P38&lt;=$J$8),$E$8,
0)))))</f>
        <v>1</v>
      </c>
    </row>
    <row r="39" spans="14:17" x14ac:dyDescent="0.25">
      <c r="N39" s="11">
        <v>36</v>
      </c>
      <c r="O39" s="8">
        <v>36</v>
      </c>
      <c r="P39" s="11">
        <f t="shared" ca="1" si="0"/>
        <v>0.49538870162390136</v>
      </c>
      <c r="Q39" s="11">
        <f ca="1">IF(AND(P39&gt;=$I$4,P39&lt;=$J$4),$E$4,
IF(AND(P39&gt;=$I$5,P39&lt;=$J$5),$E$5,
IF(AND(P39&gt;=$I$6,P39&lt;=$J$6),$E$6,
IF(AND(P39&gt;=$I$7,P39&lt;=$J$7),$E$7,
IF(AND(P39&gt;=$I$8,P39&lt;=$J$8),$E$8,
0)))))</f>
        <v>5</v>
      </c>
    </row>
    <row r="40" spans="14:17" x14ac:dyDescent="0.25">
      <c r="N40" s="11">
        <v>37</v>
      </c>
      <c r="O40" s="8">
        <v>37</v>
      </c>
      <c r="P40" s="11">
        <f t="shared" ca="1" si="0"/>
        <v>0.79290897670644156</v>
      </c>
      <c r="Q40" s="11">
        <f ca="1">IF(AND(P40&gt;=$I$4,P40&lt;=$J$4),$E$4,
IF(AND(P40&gt;=$I$5,P40&lt;=$J$5),$E$5,
IF(AND(P40&gt;=$I$6,P40&lt;=$J$6),$E$6,
IF(AND(P40&gt;=$I$7,P40&lt;=$J$7),$E$7,
IF(AND(P40&gt;=$I$8,P40&lt;=$J$8),$E$8,
0)))))</f>
        <v>10</v>
      </c>
    </row>
  </sheetData>
  <mergeCells count="1">
    <mergeCell ref="D9:E9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2022-04-01T08:29:24Z</dcterms:modified>
</cp:coreProperties>
</file>